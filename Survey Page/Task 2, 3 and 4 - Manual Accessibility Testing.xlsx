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Sandra\FCSE\VI семестар\Софтверски квалитет и тестирање\Проект\"/>
    </mc:Choice>
  </mc:AlternateContent>
  <xr:revisionPtr revIDLastSave="0" documentId="13_ncr:1_{F89B1CDE-7A01-4844-AE30-F7A91424C926}" xr6:coauthVersionLast="47" xr6:coauthVersionMax="47" xr10:uidLastSave="{00000000-0000-0000-0000-000000000000}"/>
  <bookViews>
    <workbookView xWindow="-108" yWindow="-108" windowWidth="23256" windowHeight="12456" xr2:uid="{00000000-000D-0000-FFFF-FFFF00000000}"/>
  </bookViews>
  <sheets>
    <sheet name="Bug Reports" sheetId="3" r:id="rId1"/>
    <sheet name="Fixes" sheetId="4" r:id="rId2"/>
  </sheets>
  <definedNames>
    <definedName name="_xlnm._FilterDatabase" localSheetId="0" hidden="1">'Bug Reports'!$A$1:$H$1</definedName>
  </definedNames>
  <calcPr calcId="191029"/>
</workbook>
</file>

<file path=xl/calcChain.xml><?xml version="1.0" encoding="utf-8"?>
<calcChain xmlns="http://schemas.openxmlformats.org/spreadsheetml/2006/main">
  <c r="B6" i="4" l="1"/>
  <c r="B4" i="4"/>
  <c r="B3" i="4"/>
  <c r="B5" i="4"/>
  <c r="B7" i="4"/>
  <c r="B8" i="4"/>
  <c r="B9" i="4"/>
  <c r="B10" i="4"/>
  <c r="B11" i="4"/>
  <c r="B12" i="4"/>
  <c r="B2" i="4"/>
</calcChain>
</file>

<file path=xl/sharedStrings.xml><?xml version="1.0" encoding="utf-8"?>
<sst xmlns="http://schemas.openxmlformats.org/spreadsheetml/2006/main" count="125" uniqueCount="93">
  <si>
    <t>Expected Result</t>
  </si>
  <si>
    <t>Priority</t>
  </si>
  <si>
    <t>High</t>
  </si>
  <si>
    <t>Bug ID</t>
  </si>
  <si>
    <t>Title</t>
  </si>
  <si>
    <t>Description</t>
  </si>
  <si>
    <t>Steps to Reproduce</t>
  </si>
  <si>
    <t>Actual Result</t>
  </si>
  <si>
    <t>Severity</t>
  </si>
  <si>
    <t>BUG-001</t>
  </si>
  <si>
    <t>Major</t>
  </si>
  <si>
    <t>Keyboard navigation testing</t>
  </si>
  <si>
    <t>Trying to reach home, news, tickets and survey tabs from the side menu</t>
  </si>
  <si>
    <t>The location indicator is not showing on the tabs from the side menu</t>
  </si>
  <si>
    <t>1. Press tab to try to get to the home tab from the side menu</t>
  </si>
  <si>
    <t>Reaching any tab from the side menu</t>
  </si>
  <si>
    <t>While pressing Tab the indicator goes from the quickmenu to the form on the page</t>
  </si>
  <si>
    <t>BUG-002</t>
  </si>
  <si>
    <t>Label not associated with its radio button</t>
  </si>
  <si>
    <t>When clicking on the label instead of the radio button, it is not checked.</t>
  </si>
  <si>
    <t>1. Go to the "Which is your favorite city park?" form
2. Click on the label of any of the buttons</t>
  </si>
  <si>
    <t>The button is checked</t>
  </si>
  <si>
    <t>The button stays unchecked</t>
  </si>
  <si>
    <t>Screen reader testing</t>
  </si>
  <si>
    <t>BUG-003</t>
  </si>
  <si>
    <t>Form input fields are not properly announced</t>
  </si>
  <si>
    <t>Screen readers do not correctly announce the purpose of input fields due to missing or not associated labels</t>
  </si>
  <si>
    <t>1. Navigate to the survey form
2. Use a screen reader to move through input fields</t>
  </si>
  <si>
    <t>Each input field is announced with its label and purpose</t>
  </si>
  <si>
    <t>Input fields are read without clear labels or context</t>
  </si>
  <si>
    <t>BUG-004</t>
  </si>
  <si>
    <t>Radio button options are not grouped or read correctly</t>
  </si>
  <si>
    <t>Radio buttons are not properly grouped, causing screen readers to read them as unrelated items</t>
  </si>
  <si>
    <t>1. Navigate to the “Which is yout favorite city park” question
2. Use a screen reader to read the options</t>
  </si>
  <si>
    <t>Screen reader announces the group and each option clearly</t>
  </si>
  <si>
    <t>Options are read without proper grouping or context</t>
  </si>
  <si>
    <t>BUG-005</t>
  </si>
  <si>
    <t>BUG-006</t>
  </si>
  <si>
    <t>Error messages are not announced to screen reader users</t>
  </si>
  <si>
    <t>When submitting invalid input, error messages are not properly communicated to screen readers</t>
  </si>
  <si>
    <t>1. Submit the form with invalid or empty fields
2. Use a screen reader to check for feedback</t>
  </si>
  <si>
    <t>Error messages are clearly announced</t>
  </si>
  <si>
    <t>Errors are only visually indicated and not read by screen readers</t>
  </si>
  <si>
    <t>Critical</t>
  </si>
  <si>
    <t>Page structure is not properly defined with headings</t>
  </si>
  <si>
    <t>The page lacks a clear heading structure, making navigation difficult for screen reader users</t>
  </si>
  <si>
    <t>1. Use a screen reader
2. Navigate using heading shortcuts</t>
  </si>
  <si>
    <t>Headings are structured logically (H1, H2, ...)</t>
  </si>
  <si>
    <t>Headings are missing or not meaningful</t>
  </si>
  <si>
    <t>Medium</t>
  </si>
  <si>
    <t>Color contrast testing</t>
  </si>
  <si>
    <t>Error text has a bad contrast</t>
  </si>
  <si>
    <t>The red error text does not provide a good contrast against the gray background, making it harder to read for users with visual impairments (the contrast score was 3.41 : 1 and some contrast tests failed)</t>
  </si>
  <si>
    <t>1. Open the survey page
2. Submit the form with invalid input or empty fields
3. Check contrast of red error text</t>
  </si>
  <si>
    <t>Error text has low contrast and is harder to read</t>
  </si>
  <si>
    <t>Error text should meet contrast standards and be easily readable</t>
  </si>
  <si>
    <t>Error messages rely only on color</t>
  </si>
  <si>
    <t>Errors are indicated using only red color without any other additional signs of error</t>
  </si>
  <si>
    <t>1. Open the survey page
2. Submit the form with invalid input or empty fields
3. Observe how errors are displayed</t>
  </si>
  <si>
    <t>Errors with error sign or should be visible</t>
  </si>
  <si>
    <t>Errors are mainly indicated by red text</t>
  </si>
  <si>
    <t>Forms accessibility testing</t>
  </si>
  <si>
    <t>Required fields are not clearly indicated</t>
  </si>
  <si>
    <t>Required fields are not clearly marked before form submission, making it difficult for users to know which fields must be filled</t>
  </si>
  <si>
    <t>1. Open the survey page
2. Observe input fields before submitting (you can submit the form without filling out the information in the last box)</t>
  </si>
  <si>
    <t>Required fields are clearly marked</t>
  </si>
  <si>
    <t>Instructions about required fields and form completion are not clear or in the right place and can be easily overlooked</t>
  </si>
  <si>
    <t>Form instructions are not clear</t>
  </si>
  <si>
    <t>1. Open the survey page
2. Try to understand how to fill it without submitting</t>
  </si>
  <si>
    <t>Instructions are clear and easy to notice</t>
  </si>
  <si>
    <t>Instructions are not clear and may be missed</t>
  </si>
  <si>
    <t>Form input is lost after submission error</t>
  </si>
  <si>
    <t>1. Open the survey page
2. Submit the form with invalid input or empty fields
3. See if the previously entered information is still there</t>
  </si>
  <si>
    <t>When the form is submitted with invalid input, previously entered information is cleared, forcing users to re-enter all information</t>
  </si>
  <si>
    <t>Previously entered data is still in the fields</t>
  </si>
  <si>
    <t>All input information is lost after submission</t>
  </si>
  <si>
    <t>BUG-007</t>
  </si>
  <si>
    <t>BUG-008</t>
  </si>
  <si>
    <t>BUG-009</t>
  </si>
  <si>
    <t>BUG-010</t>
  </si>
  <si>
    <t>BUG-011</t>
  </si>
  <si>
    <t>Fix</t>
  </si>
  <si>
    <t>The error was fixed by adding a label for every input radio button in the html, instead of a &lt;td&gt; element</t>
  </si>
  <si>
    <t>The error was fixed by making the side menu items accessible by keyboard (making it into a focusable html element) and marking them with a different color when they are selected</t>
  </si>
  <si>
    <t>The error was fixed by adding a properly associated label to every input field</t>
  </si>
  <si>
    <t>The error was fixed by grouping the elements into a fieldset and the question into a legend tag so the screen reader can read the question and then the options</t>
  </si>
  <si>
    <t>The error was fixed by adding an error summary at the top of the page and updating the page title to include "Error", so users can hear the error when the page reloads</t>
  </si>
  <si>
    <t>The error was fixed by replacing plain styled text with semantic HTML heading tags (h1, h2) to create a logical page hierarchy for navigation</t>
  </si>
  <si>
    <t>The error was fixed by making the error in bold and in a red box so it can be more noticable by the users</t>
  </si>
  <si>
    <t>The error was fixed by adding the text "Error" in bold and using a red background for it</t>
  </si>
  <si>
    <t>The error was fixed by adding a text indicator ("*") and the "required" attribute to labels so users know which fields are mandatory before submitting, as well as the word "optional" on the unrequired forms</t>
  </si>
  <si>
    <t>The error was fixed by placing instructions before the inputs</t>
  </si>
  <si>
    <t>The error was fixed by using a script repopulating the input value fields with the user's previous information so they don't have to start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</si>
</sst>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8"/>
      <name val="Calibri"/>
      <family val="2"/>
      <scheme val="minor"/>
    </font>
    <font>
      <sz val="18"/>
      <color theme="1"/>
      <name val="Calibri"/>
      <family val="2"/>
      <scheme val="minor"/>
    </font>
    <font>
      <b/>
      <sz val="18"/>
      <color theme="1"/>
      <name val="Calibri"/>
      <family val="2"/>
      <scheme val="minor"/>
    </font>
    <font>
      <sz val="8"/>
      <name val="Calibri"/>
      <family val="2"/>
      <scheme val="minor"/>
    </font>
  </fonts>
  <fills count="4">
    <fill>
      <patternFill patternType="none"/>
    </fill>
    <fill>
      <patternFill patternType="gray125"/>
    </fill>
    <fill>
      <patternFill patternType="solid">
        <fgColor rgb="FFDDDDDD"/>
        <bgColor rgb="FFDDDDDD"/>
      </patternFill>
    </fill>
    <fill>
      <patternFill patternType="solid">
        <fgColor rgb="FFDDDDDD"/>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wrapText="1"/>
    </xf>
    <xf numFmtId="0" fontId="2" fillId="0" borderId="0" xfId="0" applyFont="1" applyAlignment="1">
      <alignment horizontal="center" wrapText="1"/>
    </xf>
    <xf numFmtId="0" fontId="3" fillId="3" borderId="1" xfId="0" applyFont="1" applyFill="1" applyBorder="1" applyAlignment="1">
      <alignment horizontal="center" vertical="center" wrapText="1"/>
    </xf>
    <xf numFmtId="0" fontId="2" fillId="0" borderId="1" xfId="0" applyFont="1" applyBorder="1" applyAlignment="1">
      <alignment vertical="center" wrapText="1"/>
    </xf>
    <xf numFmtId="0" fontId="1" fillId="2" borderId="0" xfId="0" applyFont="1" applyFill="1" applyAlignment="1">
      <alignment horizontal="center" vertical="center" wrapText="1"/>
    </xf>
    <xf numFmtId="0" fontId="3"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colors>
    <mruColors>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tabSelected="1" zoomScale="55" zoomScaleNormal="55" workbookViewId="0">
      <pane ySplit="1" topLeftCell="A5" activePane="bottomLeft" state="frozen"/>
      <selection pane="bottomLeft" sqref="A1:H18"/>
    </sheetView>
  </sheetViews>
  <sheetFormatPr defaultColWidth="8.77734375" defaultRowHeight="23.4" x14ac:dyDescent="0.3"/>
  <cols>
    <col min="1" max="1" width="14.6640625" style="2" bestFit="1" customWidth="1"/>
    <col min="2" max="2" width="49.6640625" style="2" bestFit="1" customWidth="1"/>
    <col min="3" max="3" width="82.44140625" style="2" bestFit="1" customWidth="1"/>
    <col min="4" max="4" width="77" style="2" bestFit="1" customWidth="1"/>
    <col min="5" max="5" width="74.6640625" style="2" bestFit="1" customWidth="1"/>
    <col min="6" max="6" width="73.44140625" style="2" bestFit="1" customWidth="1"/>
    <col min="7" max="7" width="16.6640625" style="2" bestFit="1" customWidth="1"/>
    <col min="8" max="8" width="15.6640625" style="2" bestFit="1" customWidth="1"/>
    <col min="9" max="16384" width="8.77734375" style="2"/>
  </cols>
  <sheetData>
    <row r="1" spans="1:8" x14ac:dyDescent="0.3">
      <c r="A1" s="1" t="s">
        <v>3</v>
      </c>
      <c r="B1" s="1" t="s">
        <v>4</v>
      </c>
      <c r="C1" s="1" t="s">
        <v>5</v>
      </c>
      <c r="D1" s="1" t="s">
        <v>6</v>
      </c>
      <c r="E1" s="1" t="s">
        <v>0</v>
      </c>
      <c r="F1" s="1" t="s">
        <v>7</v>
      </c>
      <c r="G1" s="1" t="s">
        <v>8</v>
      </c>
      <c r="H1" s="1" t="s">
        <v>1</v>
      </c>
    </row>
    <row r="2" spans="1:8" s="3" customFormat="1" ht="56.4" customHeight="1" x14ac:dyDescent="0.3">
      <c r="A2" s="3" t="s">
        <v>9</v>
      </c>
      <c r="B2" s="3" t="s">
        <v>18</v>
      </c>
      <c r="C2" s="3" t="s">
        <v>19</v>
      </c>
      <c r="D2" s="3" t="s">
        <v>20</v>
      </c>
      <c r="E2" s="3" t="s">
        <v>21</v>
      </c>
      <c r="F2" s="3" t="s">
        <v>22</v>
      </c>
      <c r="G2" s="3" t="s">
        <v>10</v>
      </c>
      <c r="H2" s="3" t="s">
        <v>2</v>
      </c>
    </row>
    <row r="3" spans="1:8" x14ac:dyDescent="0.3">
      <c r="A3" s="8" t="s">
        <v>11</v>
      </c>
      <c r="B3" s="8"/>
      <c r="C3" s="8"/>
      <c r="D3" s="8"/>
      <c r="E3" s="8"/>
      <c r="F3" s="8"/>
      <c r="G3" s="8"/>
      <c r="H3" s="8"/>
    </row>
    <row r="4" spans="1:8" ht="70.2" x14ac:dyDescent="0.3">
      <c r="A4" s="2" t="s">
        <v>17</v>
      </c>
      <c r="B4" s="2" t="s">
        <v>12</v>
      </c>
      <c r="C4" s="2" t="s">
        <v>13</v>
      </c>
      <c r="D4" s="2" t="s">
        <v>14</v>
      </c>
      <c r="E4" s="2" t="s">
        <v>15</v>
      </c>
      <c r="F4" s="2" t="s">
        <v>16</v>
      </c>
      <c r="G4" s="2" t="s">
        <v>10</v>
      </c>
      <c r="H4" s="2" t="s">
        <v>2</v>
      </c>
    </row>
    <row r="5" spans="1:8" x14ac:dyDescent="0.3">
      <c r="A5" s="9" t="s">
        <v>23</v>
      </c>
      <c r="B5" s="9"/>
      <c r="C5" s="9"/>
      <c r="D5" s="9"/>
      <c r="E5" s="9"/>
      <c r="F5" s="9"/>
      <c r="G5" s="9"/>
      <c r="H5" s="9"/>
    </row>
    <row r="6" spans="1:8" ht="46.8" x14ac:dyDescent="0.3">
      <c r="A6" s="2" t="s">
        <v>24</v>
      </c>
      <c r="B6" s="2" t="s">
        <v>25</v>
      </c>
      <c r="C6" s="2" t="s">
        <v>26</v>
      </c>
      <c r="D6" s="2" t="s">
        <v>27</v>
      </c>
      <c r="E6" s="2" t="s">
        <v>28</v>
      </c>
      <c r="F6" s="2" t="s">
        <v>29</v>
      </c>
      <c r="G6" s="2" t="s">
        <v>10</v>
      </c>
      <c r="H6" s="2" t="s">
        <v>2</v>
      </c>
    </row>
    <row r="7" spans="1:8" ht="70.2" x14ac:dyDescent="0.3">
      <c r="A7" s="2" t="s">
        <v>30</v>
      </c>
      <c r="B7" s="2" t="s">
        <v>31</v>
      </c>
      <c r="C7" s="2" t="s">
        <v>32</v>
      </c>
      <c r="D7" s="2" t="s">
        <v>33</v>
      </c>
      <c r="E7" s="2" t="s">
        <v>34</v>
      </c>
      <c r="F7" s="2" t="s">
        <v>35</v>
      </c>
      <c r="G7" s="2" t="s">
        <v>10</v>
      </c>
      <c r="H7" s="2" t="s">
        <v>2</v>
      </c>
    </row>
    <row r="8" spans="1:8" ht="46.8" x14ac:dyDescent="0.3">
      <c r="A8" s="2" t="s">
        <v>36</v>
      </c>
      <c r="B8" s="2" t="s">
        <v>38</v>
      </c>
      <c r="C8" s="2" t="s">
        <v>39</v>
      </c>
      <c r="D8" s="2" t="s">
        <v>40</v>
      </c>
      <c r="E8" s="2" t="s">
        <v>41</v>
      </c>
      <c r="F8" s="2" t="s">
        <v>42</v>
      </c>
      <c r="G8" s="2" t="s">
        <v>43</v>
      </c>
      <c r="H8" s="2" t="s">
        <v>2</v>
      </c>
    </row>
    <row r="9" spans="1:8" ht="46.8" x14ac:dyDescent="0.3">
      <c r="A9" s="2" t="s">
        <v>37</v>
      </c>
      <c r="B9" s="2" t="s">
        <v>44</v>
      </c>
      <c r="C9" s="2" t="s">
        <v>45</v>
      </c>
      <c r="D9" s="2" t="s">
        <v>46</v>
      </c>
      <c r="E9" s="2" t="s">
        <v>47</v>
      </c>
      <c r="F9" s="2" t="s">
        <v>48</v>
      </c>
      <c r="G9" s="2" t="s">
        <v>10</v>
      </c>
      <c r="H9" s="2" t="s">
        <v>49</v>
      </c>
    </row>
    <row r="10" spans="1:8" x14ac:dyDescent="0.3">
      <c r="A10" s="9" t="s">
        <v>50</v>
      </c>
      <c r="B10" s="9"/>
      <c r="C10" s="9"/>
      <c r="D10" s="9"/>
      <c r="E10" s="9"/>
      <c r="F10" s="9"/>
      <c r="G10" s="9"/>
      <c r="H10" s="9"/>
    </row>
    <row r="11" spans="1:8" ht="93.6" x14ac:dyDescent="0.3">
      <c r="A11" s="2" t="s">
        <v>76</v>
      </c>
      <c r="B11" s="2" t="s">
        <v>51</v>
      </c>
      <c r="C11" s="2" t="s">
        <v>52</v>
      </c>
      <c r="D11" s="2" t="s">
        <v>53</v>
      </c>
      <c r="E11" s="2" t="s">
        <v>55</v>
      </c>
      <c r="F11" s="2" t="s">
        <v>54</v>
      </c>
      <c r="G11" s="2" t="s">
        <v>10</v>
      </c>
      <c r="H11" s="2" t="s">
        <v>2</v>
      </c>
    </row>
    <row r="12" spans="1:8" ht="70.2" x14ac:dyDescent="0.3">
      <c r="A12" s="2" t="s">
        <v>77</v>
      </c>
      <c r="B12" s="2" t="s">
        <v>56</v>
      </c>
      <c r="C12" s="2" t="s">
        <v>57</v>
      </c>
      <c r="D12" s="2" t="s">
        <v>58</v>
      </c>
      <c r="E12" s="2" t="s">
        <v>59</v>
      </c>
      <c r="F12" s="2" t="s">
        <v>60</v>
      </c>
      <c r="G12" s="2" t="s">
        <v>10</v>
      </c>
      <c r="H12" s="2" t="s">
        <v>2</v>
      </c>
    </row>
    <row r="13" spans="1:8" x14ac:dyDescent="0.3">
      <c r="A13" s="9" t="s">
        <v>61</v>
      </c>
      <c r="B13" s="9"/>
      <c r="C13" s="9"/>
      <c r="D13" s="9"/>
      <c r="E13" s="9"/>
      <c r="F13" s="9"/>
      <c r="G13" s="9"/>
      <c r="H13" s="9"/>
    </row>
    <row r="14" spans="1:8" ht="93.6" x14ac:dyDescent="0.3">
      <c r="A14" s="2" t="s">
        <v>78</v>
      </c>
      <c r="B14" s="2" t="s">
        <v>62</v>
      </c>
      <c r="C14" s="2" t="s">
        <v>63</v>
      </c>
      <c r="D14" s="2" t="s">
        <v>64</v>
      </c>
      <c r="E14" s="2" t="s">
        <v>65</v>
      </c>
      <c r="F14" s="2" t="s">
        <v>62</v>
      </c>
      <c r="G14" s="2" t="s">
        <v>10</v>
      </c>
      <c r="H14" s="2" t="s">
        <v>2</v>
      </c>
    </row>
    <row r="15" spans="1:8" ht="70.2" x14ac:dyDescent="0.3">
      <c r="A15" s="2" t="s">
        <v>79</v>
      </c>
      <c r="B15" s="2" t="s">
        <v>67</v>
      </c>
      <c r="C15" s="2" t="s">
        <v>66</v>
      </c>
      <c r="D15" s="2" t="s">
        <v>68</v>
      </c>
      <c r="E15" s="2" t="s">
        <v>69</v>
      </c>
      <c r="F15" s="2" t="s">
        <v>70</v>
      </c>
      <c r="G15" s="2" t="s">
        <v>10</v>
      </c>
      <c r="H15" s="2" t="s">
        <v>2</v>
      </c>
    </row>
    <row r="16" spans="1:8" ht="93.6" x14ac:dyDescent="0.3">
      <c r="A16" s="2" t="s">
        <v>80</v>
      </c>
      <c r="B16" s="2" t="s">
        <v>71</v>
      </c>
      <c r="C16" s="2" t="s">
        <v>73</v>
      </c>
      <c r="D16" s="2" t="s">
        <v>72</v>
      </c>
      <c r="E16" s="2" t="s">
        <v>74</v>
      </c>
      <c r="F16" s="2" t="s">
        <v>75</v>
      </c>
      <c r="G16" s="2" t="s">
        <v>43</v>
      </c>
      <c r="H16" s="2" t="s">
        <v>2</v>
      </c>
    </row>
  </sheetData>
  <autoFilter ref="A1:H1" xr:uid="{00000000-0009-0000-0000-000002000000}"/>
  <mergeCells count="4">
    <mergeCell ref="A3:H3"/>
    <mergeCell ref="A5:H5"/>
    <mergeCell ref="A10:H10"/>
    <mergeCell ref="A13:H13"/>
  </mergeCells>
  <phoneticPr fontId="4" type="noConversion"/>
  <dataValidations count="2">
    <dataValidation type="list" allowBlank="1" sqref="G2 G4 G6:G9 G11:G12 G14:G199" xr:uid="{00000000-0002-0000-0200-000000000000}">
      <formula1>"Minor,Major,Critical,Blocker"</formula1>
    </dataValidation>
    <dataValidation type="list" allowBlank="1" sqref="H2 H4 H6:H9 H11:H12 H14:H199" xr:uid="{00000000-0002-0000-02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FBBFF-3C30-4690-B93C-598FDBF3EB3F}">
  <dimension ref="A1:C12"/>
  <sheetViews>
    <sheetView zoomScale="67" workbookViewId="0"/>
  </sheetViews>
  <sheetFormatPr defaultColWidth="15.77734375" defaultRowHeight="23.4" customHeight="1" x14ac:dyDescent="0.45"/>
  <cols>
    <col min="1" max="1" width="15.77734375" style="4"/>
    <col min="2" max="3" width="50.77734375" style="4" customWidth="1"/>
    <col min="4" max="16384" width="15.77734375" style="4"/>
  </cols>
  <sheetData>
    <row r="1" spans="1:3" s="5" customFormat="1" ht="40.200000000000003" customHeight="1" x14ac:dyDescent="0.45">
      <c r="A1" s="6" t="s">
        <v>3</v>
      </c>
      <c r="B1" s="6" t="s">
        <v>4</v>
      </c>
      <c r="C1" s="6" t="s">
        <v>81</v>
      </c>
    </row>
    <row r="2" spans="1:3" ht="93.6" x14ac:dyDescent="0.45">
      <c r="A2" s="7" t="s">
        <v>9</v>
      </c>
      <c r="B2" s="7" t="str">
        <f>VLOOKUP(A2, 'Bug Reports'!A:B, 2, FALSE)</f>
        <v>Label not associated with its radio button</v>
      </c>
      <c r="C2" s="7" t="s">
        <v>82</v>
      </c>
    </row>
    <row r="3" spans="1:3" ht="140.4" x14ac:dyDescent="0.45">
      <c r="A3" s="7" t="s">
        <v>17</v>
      </c>
      <c r="B3" s="7" t="str">
        <f>VLOOKUP(A3, 'Bug Reports'!A:B, 2, FALSE)</f>
        <v>Trying to reach home, news, tickets and survey tabs from the side menu</v>
      </c>
      <c r="C3" s="7" t="s">
        <v>83</v>
      </c>
    </row>
    <row r="4" spans="1:3" ht="70.2" x14ac:dyDescent="0.45">
      <c r="A4" s="7" t="s">
        <v>24</v>
      </c>
      <c r="B4" s="7" t="str">
        <f>VLOOKUP(A4, 'Bug Reports'!A:B, 2, FALSE)</f>
        <v>Form input fields are not properly announced</v>
      </c>
      <c r="C4" s="7" t="s">
        <v>84</v>
      </c>
    </row>
    <row r="5" spans="1:3" ht="117" x14ac:dyDescent="0.45">
      <c r="A5" s="7" t="s">
        <v>30</v>
      </c>
      <c r="B5" s="7" t="str">
        <f>VLOOKUP(A5, 'Bug Reports'!A:B, 2, FALSE)</f>
        <v>Radio button options are not grouped or read correctly</v>
      </c>
      <c r="C5" s="7" t="s">
        <v>85</v>
      </c>
    </row>
    <row r="6" spans="1:3" ht="117" x14ac:dyDescent="0.45">
      <c r="A6" s="7" t="s">
        <v>36</v>
      </c>
      <c r="B6" s="7" t="str">
        <f>VLOOKUP(A6, 'Bug Reports'!A:B, 2, FALSE)</f>
        <v>Error messages are not announced to screen reader users</v>
      </c>
      <c r="C6" s="7" t="s">
        <v>86</v>
      </c>
    </row>
    <row r="7" spans="1:3" ht="124.2" customHeight="1" x14ac:dyDescent="0.45">
      <c r="A7" s="7" t="s">
        <v>37</v>
      </c>
      <c r="B7" s="7" t="str">
        <f>VLOOKUP(A7, 'Bug Reports'!A:B, 2, FALSE)</f>
        <v>Page structure is not properly defined with headings</v>
      </c>
      <c r="C7" s="7" t="s">
        <v>87</v>
      </c>
    </row>
    <row r="8" spans="1:3" ht="74.400000000000006" customHeight="1" x14ac:dyDescent="0.45">
      <c r="A8" s="7" t="s">
        <v>76</v>
      </c>
      <c r="B8" s="7" t="str">
        <f>VLOOKUP(A8, 'Bug Reports'!A:B, 2, FALSE)</f>
        <v>Error text has a bad contrast</v>
      </c>
      <c r="C8" s="7" t="s">
        <v>88</v>
      </c>
    </row>
    <row r="9" spans="1:3" ht="77.400000000000006" customHeight="1" x14ac:dyDescent="0.45">
      <c r="A9" s="7" t="s">
        <v>77</v>
      </c>
      <c r="B9" s="7" t="str">
        <f>VLOOKUP(A9, 'Bug Reports'!A:B, 2, FALSE)</f>
        <v>Error messages rely only on color</v>
      </c>
      <c r="C9" s="7" t="s">
        <v>89</v>
      </c>
    </row>
    <row r="10" spans="1:3" ht="163.80000000000001" x14ac:dyDescent="0.45">
      <c r="A10" s="7" t="s">
        <v>78</v>
      </c>
      <c r="B10" s="7" t="str">
        <f>VLOOKUP(A10, 'Bug Reports'!A:B, 2, FALSE)</f>
        <v>Required fields are not clearly indicated</v>
      </c>
      <c r="C10" s="7" t="s">
        <v>90</v>
      </c>
    </row>
    <row r="11" spans="1:3" ht="46.8" x14ac:dyDescent="0.45">
      <c r="A11" s="7" t="s">
        <v>79</v>
      </c>
      <c r="B11" s="7" t="str">
        <f>VLOOKUP(A11, 'Bug Reports'!A:B, 2, FALSE)</f>
        <v>Form instructions are not clear</v>
      </c>
      <c r="C11" s="7" t="s">
        <v>91</v>
      </c>
    </row>
    <row r="12" spans="1:3" ht="117" x14ac:dyDescent="0.45">
      <c r="A12" s="7" t="s">
        <v>80</v>
      </c>
      <c r="B12" s="7" t="str">
        <f>VLOOKUP(A12, 'Bug Reports'!A:B, 2, FALSE)</f>
        <v>Form input is lost after submission error</v>
      </c>
      <c r="C12" s="7" t="s">
        <v>92</v>
      </c>
    </row>
  </sheetData>
  <phoneticPr fontId="4" type="noConversion"/>
  <pageMargins left="0.7" right="0.7" top="0.75" bottom="0.75" header="0.3" footer="0.3"/>
</worksheet>
</file>

<file path=docMetadata/LabelInfo.xml><?xml version="1.0" encoding="utf-8"?>
<clbl:labelList xmlns:clbl="http://schemas.microsoft.com/office/2020/mipLabelMetadata">
  <clbl:label id="{c27a0edb-e419-442c-846c-0d33edcc7f8e}" enabled="1" method="Privileged" siteId="{d0b03992-4b8c-472f-9330-11dda7c8e25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 Reports</vt:lpstr>
      <vt:lpstr>Fixes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Sandra Chavdarova</cp:lastModifiedBy>
  <dcterms:created xsi:type="dcterms:W3CDTF">2026-03-16T17:04:38Z</dcterms:created>
  <dcterms:modified xsi:type="dcterms:W3CDTF">2026-03-29T10:54:46Z</dcterms:modified>
</cp:coreProperties>
</file>